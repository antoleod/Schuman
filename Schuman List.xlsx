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1\Documents\Schuman\"/>
    </mc:Choice>
  </mc:AlternateContent>
  <xr:revisionPtr revIDLastSave="0" documentId="13_ncr:1_{1B62C3E7-F533-4A60-AABC-18FD031B6E78}" xr6:coauthVersionLast="47" xr6:coauthVersionMax="47" xr10:uidLastSave="{00000000-0000-0000-0000-000000000000}"/>
  <bookViews>
    <workbookView xWindow="-110" yWindow="-110" windowWidth="19420" windowHeight="11500" activeTab="1" xr2:uid="{1D924867-5138-4414-9B39-ADB0E20E2123}"/>
  </bookViews>
  <sheets>
    <sheet name="Dashboard" sheetId="12" r:id="rId1"/>
    <sheet name="BRU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2" l="1"/>
  <c r="H5" i="12" s="1"/>
  <c r="G4" i="12"/>
  <c r="B4" i="12"/>
  <c r="E5" i="12"/>
  <c r="F5" i="12" s="1"/>
  <c r="E4" i="12"/>
  <c r="D5" i="12"/>
  <c r="D4" i="12"/>
  <c r="C5" i="12"/>
  <c r="C4" i="12"/>
  <c r="C6" i="12" s="1"/>
  <c r="B5" i="12"/>
  <c r="D6" i="12" l="1"/>
  <c r="H4" i="12"/>
  <c r="I4" i="12"/>
  <c r="J4" i="12" s="1"/>
  <c r="E6" i="12"/>
  <c r="B6" i="12"/>
  <c r="G6" i="12"/>
  <c r="F4" i="12"/>
  <c r="F6" i="12" s="1"/>
  <c r="I5" i="12"/>
  <c r="J5" i="12" s="1"/>
  <c r="I6" i="12" l="1"/>
  <c r="J6" i="12" s="1"/>
  <c r="H6" i="12"/>
</calcChain>
</file>

<file path=xl/sharedStrings.xml><?xml version="1.0" encoding="utf-8"?>
<sst xmlns="http://schemas.openxmlformats.org/spreadsheetml/2006/main" count="39" uniqueCount="36">
  <si>
    <t>Site</t>
  </si>
  <si>
    <t>iPhones to deliver</t>
  </si>
  <si>
    <t>1st communications sent</t>
  </si>
  <si>
    <t>Appointments set</t>
  </si>
  <si>
    <t>iPhones delivered</t>
  </si>
  <si>
    <t>Remaining iPhone to deliver</t>
  </si>
  <si>
    <t>Tasks finished</t>
  </si>
  <si>
    <t>Remaining tasks to do</t>
  </si>
  <si>
    <t>% Tasks finished</t>
  </si>
  <si>
    <t>%Tasks to finish</t>
  </si>
  <si>
    <t>BRU</t>
  </si>
  <si>
    <t>LUX</t>
  </si>
  <si>
    <t>Total</t>
  </si>
  <si>
    <t>Agent</t>
  </si>
  <si>
    <t>Name</t>
  </si>
  <si>
    <t>Ticket</t>
  </si>
  <si>
    <t>Ludo</t>
  </si>
  <si>
    <t>RITM0483422</t>
  </si>
  <si>
    <t>PDF ready</t>
  </si>
  <si>
    <t>Estado de RITM</t>
  </si>
  <si>
    <t>Angoi Ludovic N'guessan N'GORAN</t>
  </si>
  <si>
    <t>MUSTBRUN2424012</t>
  </si>
  <si>
    <t>Closed Complete</t>
  </si>
  <si>
    <t>Priyadharshini GOWRISANKAR</t>
  </si>
  <si>
    <t>Cancelled</t>
  </si>
  <si>
    <t>PI</t>
  </si>
  <si>
    <t>RITM0483421</t>
  </si>
  <si>
    <t>RITM0323421</t>
  </si>
  <si>
    <t>Export Status</t>
  </si>
  <si>
    <t>DOCX File</t>
  </si>
  <si>
    <t>PDF File</t>
  </si>
  <si>
    <t>OK</t>
  </si>
  <si>
    <t>C:\Users\X1\Documents\Schuman\WORD files\RITM0483422_Angoi Ludovic Nguessan NGORAN.pdf</t>
  </si>
  <si>
    <t>C:\Users\X1\Documents\Schuman\WORD files\RITM0483422_Angoi Ludovic Nguessan NGORAN.docx</t>
  </si>
  <si>
    <t>C:\Users\X1\Documents\Schuman\WORD files\RITM0483421_Angoi Ludovic Nguessan NGORAN.docx</t>
  </si>
  <si>
    <t>FAILED: Call was rejected by callee. (Exception from HRESULT: 0x80010001 (RPC_E_CALL_REJECTED))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</si>
</sst>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/>
        <color theme="8"/>
      </font>
      <numFmt numFmtId="14" formatCode="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8"/>
        <name val="Aptos Narrow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0A-4CA5-AAEE-B269969A0CF2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0A-4CA5-AAEE-B269969A0CF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0A-4CA5-AAEE-B269969A0CF2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0A-4CA5-AAEE-B269969A0CF2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0A-4CA5-AAEE-B269969A0C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0A-4CA5-AAEE-B269969A0CF2}"/>
              </c:ext>
            </c:extLst>
          </c:dPt>
          <c:dPt>
            <c:idx val="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90A-4CA5-AAEE-B269969A0CF2}"/>
              </c:ext>
            </c:extLst>
          </c:dPt>
          <c:dPt>
            <c:idx val="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90A-4CA5-AAEE-B269969A0CF2}"/>
              </c:ext>
            </c:extLst>
          </c:dPt>
          <c:dPt>
            <c:idx val="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90A-4CA5-AAEE-B269969A0CF2}"/>
              </c:ext>
            </c:extLst>
          </c:dPt>
          <c:dPt>
            <c:idx val="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90A-4CA5-AAEE-B269969A0CF2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C90A-4CA5-AAEE-B269969A0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Dashboard!$A$4</c:f>
              <c:strCache>
                <c:ptCount val="1"/>
                <c:pt idx="0">
                  <c:v>BRU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90A-4CA5-AAEE-B269969A0CF2}"/>
              </c:ext>
            </c:extLst>
          </c:dPt>
          <c:dPt>
            <c:idx val="1"/>
            <c:bubble3D val="0"/>
            <c:spPr>
              <a:solidFill>
                <a:schemeClr val="bg1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90A-4CA5-AAEE-B269969A0CF2}"/>
              </c:ext>
            </c:extLst>
          </c:dPt>
          <c:val>
            <c:numRef>
              <c:f>Dashboard!$I$4:$J$4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90A-4CA5-AAEE-B269969A0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91-4AE9-93BD-A4199393664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91-4AE9-93BD-A4199393664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91-4AE9-93BD-A419939366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91-4AE9-93BD-A41993936643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91-4AE9-93BD-A41993936643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A91-4AE9-93BD-A41993936643}"/>
              </c:ext>
            </c:extLst>
          </c:dPt>
          <c:dPt>
            <c:idx val="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A91-4AE9-93BD-A41993936643}"/>
              </c:ext>
            </c:extLst>
          </c:dPt>
          <c:dPt>
            <c:idx val="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A91-4AE9-93BD-A41993936643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A91-4AE9-93BD-A41993936643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A91-4AE9-93BD-A41993936643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BA91-4AE9-93BD-A41993936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Dashboard!$A$5</c:f>
              <c:strCache>
                <c:ptCount val="1"/>
                <c:pt idx="0">
                  <c:v>LUX</c:v>
                </c:pt>
              </c:strCache>
            </c:strRef>
          </c:tx>
          <c:spPr>
            <a:solidFill>
              <a:schemeClr val="bg1">
                <a:alpha val="50000"/>
              </a:schemeClr>
            </a:solidFill>
          </c:spPr>
          <c:dPt>
            <c:idx val="0"/>
            <c:bubble3D val="0"/>
            <c:spPr>
              <a:solidFill>
                <a:schemeClr val="bg1">
                  <a:alpha val="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A91-4AE9-93BD-A41993936643}"/>
              </c:ext>
            </c:extLst>
          </c:dPt>
          <c:dPt>
            <c:idx val="1"/>
            <c:bubble3D val="0"/>
            <c:spPr>
              <a:solidFill>
                <a:schemeClr val="bg1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A91-4AE9-93BD-A41993936643}"/>
              </c:ext>
            </c:extLst>
          </c:dPt>
          <c:val>
            <c:numRef>
              <c:f>Dashboard!$I$5:$J$5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A91-4AE9-93BD-A41993936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1"/>
          <c:tx>
            <c:strRef>
              <c:f>Dashboard!$A$6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E57-417F-A03C-B993737094C4}"/>
              </c:ext>
            </c:extLst>
          </c:dPt>
          <c:dPt>
            <c:idx val="1"/>
            <c:bubble3D val="0"/>
            <c:spPr>
              <a:solidFill>
                <a:schemeClr val="bg1">
                  <a:alpha val="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E57-417F-A03C-B993737094C4}"/>
              </c:ext>
            </c:extLst>
          </c:dPt>
          <c:val>
            <c:numRef>
              <c:f>Dashboard!$I$6:$J$6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E57-417F-A03C-B99373709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0"/>
          <c:order val="0"/>
          <c:spPr>
            <a:solidFill>
              <a:schemeClr val="accent2">
                <a:alpha val="50000"/>
              </a:schemeClr>
            </a:solidFill>
          </c:spPr>
          <c:dPt>
            <c:idx val="0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57-417F-A03C-B993737094C4}"/>
              </c:ext>
            </c:extLst>
          </c:dPt>
          <c:dPt>
            <c:idx val="1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57-417F-A03C-B993737094C4}"/>
              </c:ext>
            </c:extLst>
          </c:dPt>
          <c:dPt>
            <c:idx val="2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57-417F-A03C-B993737094C4}"/>
              </c:ext>
            </c:extLst>
          </c:dPt>
          <c:dPt>
            <c:idx val="3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57-417F-A03C-B993737094C4}"/>
              </c:ext>
            </c:extLst>
          </c:dPt>
          <c:dPt>
            <c:idx val="4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57-417F-A03C-B993737094C4}"/>
              </c:ext>
            </c:extLst>
          </c:dPt>
          <c:dPt>
            <c:idx val="5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57-417F-A03C-B993737094C4}"/>
              </c:ext>
            </c:extLst>
          </c:dPt>
          <c:dPt>
            <c:idx val="6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57-417F-A03C-B993737094C4}"/>
              </c:ext>
            </c:extLst>
          </c:dPt>
          <c:dPt>
            <c:idx val="7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E57-417F-A03C-B993737094C4}"/>
              </c:ext>
            </c:extLst>
          </c:dPt>
          <c:dPt>
            <c:idx val="8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E57-417F-A03C-B993737094C4}"/>
              </c:ext>
            </c:extLst>
          </c:dPt>
          <c:dPt>
            <c:idx val="9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E57-417F-A03C-B993737094C4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8E57-417F-A03C-B99373709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19050</xdr:rowOff>
    </xdr:from>
    <xdr:to>
      <xdr:col>5</xdr:col>
      <xdr:colOff>1906811</xdr:colOff>
      <xdr:row>23</xdr:row>
      <xdr:rowOff>171343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6A6185B-B932-4D4C-8617-C1EF25EFCDC0}"/>
            </a:ext>
          </a:extLst>
        </xdr:cNvPr>
        <xdr:cNvGrpSpPr/>
      </xdr:nvGrpSpPr>
      <xdr:grpSpPr>
        <a:xfrm>
          <a:off x="0" y="1676400"/>
          <a:ext cx="8383811" cy="2730393"/>
          <a:chOff x="0" y="1828800"/>
          <a:chExt cx="8299313" cy="2681181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2CDAFA9-4B2B-3E49-1155-6B3DC073A901}"/>
              </a:ext>
            </a:extLst>
          </xdr:cNvPr>
          <xdr:cNvGrpSpPr/>
        </xdr:nvGrpSpPr>
        <xdr:grpSpPr>
          <a:xfrm>
            <a:off x="0" y="2062168"/>
            <a:ext cx="8299313" cy="2447813"/>
            <a:chOff x="0" y="1366835"/>
            <a:chExt cx="8299313" cy="2447813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7BCF78D5-4BD8-8EC4-A3AC-3AE3BB3E6D2F}"/>
                </a:ext>
              </a:extLst>
            </xdr:cNvPr>
            <xdr:cNvGrpSpPr/>
          </xdr:nvGrpSpPr>
          <xdr:grpSpPr>
            <a:xfrm>
              <a:off x="0" y="1366835"/>
              <a:ext cx="3245644" cy="2447813"/>
              <a:chOff x="0" y="1409699"/>
              <a:chExt cx="3245644" cy="2447813"/>
            </a:xfrm>
          </xdr:grpSpPr>
          <xdr:graphicFrame macro="">
            <xdr:nvGraphicFramePr>
              <xdr:cNvPr id="18" name="Chart 17">
                <a:extLst>
                  <a:ext uri="{FF2B5EF4-FFF2-40B4-BE49-F238E27FC236}">
                    <a16:creationId xmlns:a16="http://schemas.microsoft.com/office/drawing/2014/main" id="{D3B1724C-9499-900E-364C-A10C63448009}"/>
                  </a:ext>
                </a:extLst>
              </xdr:cNvPr>
              <xdr:cNvGraphicFramePr/>
            </xdr:nvGraphicFramePr>
            <xdr:xfrm>
              <a:off x="0" y="1409699"/>
              <a:ext cx="3245644" cy="238125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$I$4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8AE041E2-66EC-76D8-91C5-97C957247DA0}"/>
                  </a:ext>
                </a:extLst>
              </xdr:cNvPr>
              <xdr:cNvSpPr txBox="1"/>
            </xdr:nvSpPr>
            <xdr:spPr>
              <a:xfrm>
                <a:off x="1057276" y="2405069"/>
                <a:ext cx="1076324" cy="34278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pPr marL="0" indent="0" algn="ctr"/>
                <a:fld id="{23F34469-F1F0-4F17-942F-88E6349636B3}" type="TxLink">
                  <a:rPr lang="en-US" sz="16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ea typeface="+mn-ea"/>
                    <a:cs typeface="Calibri"/>
                  </a:rPr>
                  <a:pPr marL="0" indent="0" algn="ctr"/>
                  <a:t>0,00%</a:t>
                </a:fld>
                <a:endParaRPr lang="fr-FR" sz="1600" b="1" i="0" u="none" strike="noStrike">
                  <a:solidFill>
                    <a:schemeClr val="accent6">
                      <a:lumMod val="75000"/>
                    </a:schemeClr>
                  </a:solidFill>
                  <a:latin typeface="Calibri"/>
                  <a:ea typeface="+mn-ea"/>
                  <a:cs typeface="Calibri"/>
                </a:endParaRPr>
              </a:p>
            </xdr:txBody>
          </xdr:sp>
          <xdr:sp macro="" textlink="$A$4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BBB785FA-C276-18BE-835C-56B3A2614254}"/>
                  </a:ext>
                </a:extLst>
              </xdr:cNvPr>
              <xdr:cNvSpPr txBox="1"/>
            </xdr:nvSpPr>
            <xdr:spPr>
              <a:xfrm>
                <a:off x="1376360" y="3514726"/>
                <a:ext cx="604838" cy="34278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0794F033-7DA3-4D48-B6BC-D6C777AF0EF0}" type="TxLink">
                  <a:rPr lang="en-US" sz="16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Calibri"/>
                    <a:cs typeface="Calibri"/>
                  </a:rPr>
                  <a:pPr/>
                  <a:t>BRU</a:t>
                </a:fld>
                <a:endParaRPr lang="fr-FR" sz="1600" b="1">
                  <a:solidFill>
                    <a:schemeClr val="accent6">
                      <a:lumMod val="75000"/>
                    </a:schemeClr>
                  </a:solidFill>
                </a:endParaRPr>
              </a:p>
            </xdr:txBody>
          </xdr:sp>
        </xdr:grp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7CF2278A-5C7E-AEF1-B228-54953539673E}"/>
                </a:ext>
              </a:extLst>
            </xdr:cNvPr>
            <xdr:cNvGrpSpPr/>
          </xdr:nvGrpSpPr>
          <xdr:grpSpPr>
            <a:xfrm>
              <a:off x="2444750" y="1366835"/>
              <a:ext cx="3245644" cy="2447813"/>
              <a:chOff x="0" y="1409699"/>
              <a:chExt cx="3245644" cy="2447813"/>
            </a:xfrm>
          </xdr:grpSpPr>
          <xdr:graphicFrame macro="">
            <xdr:nvGraphicFramePr>
              <xdr:cNvPr id="15" name="Chart 14">
                <a:extLst>
                  <a:ext uri="{FF2B5EF4-FFF2-40B4-BE49-F238E27FC236}">
                    <a16:creationId xmlns:a16="http://schemas.microsoft.com/office/drawing/2014/main" id="{6EBA2FD1-3E86-68DE-7291-F3242AF89D55}"/>
                  </a:ext>
                </a:extLst>
              </xdr:cNvPr>
              <xdr:cNvGraphicFramePr/>
            </xdr:nvGraphicFramePr>
            <xdr:xfrm>
              <a:off x="0" y="1409699"/>
              <a:ext cx="3245644" cy="238125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$I$5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id="{0EBE9C6A-CAAB-7154-3547-94DAF1C2226B}"/>
                  </a:ext>
                </a:extLst>
              </xdr:cNvPr>
              <xdr:cNvSpPr txBox="1"/>
            </xdr:nvSpPr>
            <xdr:spPr>
              <a:xfrm>
                <a:off x="1084264" y="2405069"/>
                <a:ext cx="1095374" cy="34278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pPr marL="0" indent="0" algn="ctr"/>
                <a:fld id="{2961E789-9996-4F5E-B477-2CA3F2B0471E}" type="TxLink">
                  <a:rPr lang="en-US" sz="1600" b="1" i="0" u="none" strike="noStrike">
                    <a:solidFill>
                      <a:schemeClr val="accent4"/>
                    </a:solidFill>
                    <a:latin typeface="Calibri"/>
                    <a:ea typeface="+mn-ea"/>
                    <a:cs typeface="Calibri"/>
                  </a:rPr>
                  <a:pPr marL="0" indent="0" algn="ctr"/>
                  <a:t>#REF!</a:t>
                </a:fld>
                <a:endParaRPr lang="fr-FR" sz="1600" b="1" i="0" u="none" strike="noStrike">
                  <a:solidFill>
                    <a:schemeClr val="accent4"/>
                  </a:solidFill>
                  <a:latin typeface="Calibri"/>
                  <a:ea typeface="+mn-ea"/>
                  <a:cs typeface="Calibri"/>
                </a:endParaRPr>
              </a:p>
            </xdr:txBody>
          </xdr:sp>
          <xdr:sp macro="" textlink="$A$5">
            <xdr:nvSpPr>
              <xdr:cNvPr id="17" name="TextBox 16">
                <a:extLst>
                  <a:ext uri="{FF2B5EF4-FFF2-40B4-BE49-F238E27FC236}">
                    <a16:creationId xmlns:a16="http://schemas.microsoft.com/office/drawing/2014/main" id="{6A4212B8-6A4F-6565-9B15-41FCA2698351}"/>
                  </a:ext>
                </a:extLst>
              </xdr:cNvPr>
              <xdr:cNvSpPr txBox="1"/>
            </xdr:nvSpPr>
            <xdr:spPr>
              <a:xfrm>
                <a:off x="1376360" y="3514726"/>
                <a:ext cx="604838" cy="34278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pPr marL="0" indent="0"/>
                <a:fld id="{1B59BEBA-CAA6-4523-8189-DDEE88C0D7F3}" type="TxLink">
                  <a:rPr lang="en-US" sz="1600" b="1" i="0" u="none" strike="noStrike">
                    <a:solidFill>
                      <a:schemeClr val="accent4"/>
                    </a:solidFill>
                    <a:latin typeface="Calibri"/>
                    <a:ea typeface="+mn-ea"/>
                    <a:cs typeface="Calibri"/>
                  </a:rPr>
                  <a:pPr marL="0" indent="0"/>
                  <a:t>LUX</a:t>
                </a:fld>
                <a:endParaRPr lang="fr-FR" sz="1600" b="1" i="0" u="none" strike="noStrike">
                  <a:solidFill>
                    <a:schemeClr val="accent4"/>
                  </a:solidFill>
                  <a:latin typeface="Calibri"/>
                  <a:ea typeface="+mn-ea"/>
                  <a:cs typeface="Calibri"/>
                </a:endParaRPr>
              </a:p>
            </xdr:txBody>
          </xdr:sp>
        </xdr:grpSp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3619B8D9-E52E-A7D8-47A8-E5B0B7B845DB}"/>
                </a:ext>
              </a:extLst>
            </xdr:cNvPr>
            <xdr:cNvGrpSpPr/>
          </xdr:nvGrpSpPr>
          <xdr:grpSpPr>
            <a:xfrm>
              <a:off x="5053669" y="1366835"/>
              <a:ext cx="3245644" cy="2447813"/>
              <a:chOff x="-2280582" y="1409699"/>
              <a:chExt cx="3245644" cy="2447813"/>
            </a:xfrm>
          </xdr:grpSpPr>
          <xdr:graphicFrame macro="">
            <xdr:nvGraphicFramePr>
              <xdr:cNvPr id="9" name="Chart 8">
                <a:extLst>
                  <a:ext uri="{FF2B5EF4-FFF2-40B4-BE49-F238E27FC236}">
                    <a16:creationId xmlns:a16="http://schemas.microsoft.com/office/drawing/2014/main" id="{794DB3D8-4569-E3DC-9107-A76A7403CA54}"/>
                  </a:ext>
                </a:extLst>
              </xdr:cNvPr>
              <xdr:cNvGraphicFramePr/>
            </xdr:nvGraphicFramePr>
            <xdr:xfrm>
              <a:off x="-2280582" y="1409699"/>
              <a:ext cx="3245644" cy="238125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$I$6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7FF1A4FF-47AD-B028-B7C0-44735F9354C0}"/>
                  </a:ext>
                </a:extLst>
              </xdr:cNvPr>
              <xdr:cNvSpPr txBox="1"/>
            </xdr:nvSpPr>
            <xdr:spPr>
              <a:xfrm>
                <a:off x="-1175693" y="2405069"/>
                <a:ext cx="1033462" cy="34278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pPr marL="0" indent="0" algn="ctr"/>
                <a:fld id="{663C0E21-A3A9-45FF-9891-A41226C11DFD}" type="TxLink">
                  <a:rPr lang="en-US" sz="1600" b="1" i="0" u="none" strike="noStrike">
                    <a:solidFill>
                      <a:schemeClr val="accent2"/>
                    </a:solidFill>
                    <a:latin typeface="Calibri"/>
                    <a:ea typeface="+mn-ea"/>
                    <a:cs typeface="Calibri"/>
                  </a:rPr>
                  <a:pPr marL="0" indent="0" algn="ctr"/>
                  <a:t>#REF!</a:t>
                </a:fld>
                <a:endParaRPr lang="fr-FR" sz="1600" b="1" i="0" u="none" strike="noStrike">
                  <a:solidFill>
                    <a:schemeClr val="accent2"/>
                  </a:solidFill>
                  <a:latin typeface="Calibri"/>
                  <a:ea typeface="+mn-ea"/>
                  <a:cs typeface="Calibri"/>
                </a:endParaRPr>
              </a:p>
            </xdr:txBody>
          </xdr:sp>
          <xdr:sp macro="" textlink="$A$6">
            <xdr:nvSpPr>
              <xdr:cNvPr id="11" name="TextBox 10">
                <a:extLst>
                  <a:ext uri="{FF2B5EF4-FFF2-40B4-BE49-F238E27FC236}">
                    <a16:creationId xmlns:a16="http://schemas.microsoft.com/office/drawing/2014/main" id="{F2521D5F-2B06-53CD-FDD1-7FA3B63ECF29}"/>
                  </a:ext>
                </a:extLst>
              </xdr:cNvPr>
              <xdr:cNvSpPr txBox="1"/>
            </xdr:nvSpPr>
            <xdr:spPr>
              <a:xfrm>
                <a:off x="-1247120" y="3514726"/>
                <a:ext cx="1200150" cy="34278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pPr marL="0" indent="0" algn="ctr"/>
                <a:fld id="{31FF3DE8-D32A-41B7-A37A-D6DB98B5290C}" type="TxLink">
                  <a:rPr lang="en-US" sz="1600" b="1" i="0" u="none" strike="noStrike">
                    <a:solidFill>
                      <a:schemeClr val="accent2"/>
                    </a:solidFill>
                    <a:latin typeface="Calibri"/>
                    <a:ea typeface="+mn-ea"/>
                    <a:cs typeface="Calibri"/>
                  </a:rPr>
                  <a:pPr marL="0" indent="0" algn="ctr"/>
                  <a:t>Total</a:t>
                </a:fld>
                <a:endParaRPr lang="fr-FR" sz="1600" b="1" i="0" u="none" strike="noStrike">
                  <a:solidFill>
                    <a:schemeClr val="accent2"/>
                  </a:solidFill>
                  <a:latin typeface="Calibri"/>
                  <a:ea typeface="+mn-ea"/>
                  <a:cs typeface="Calibri"/>
                </a:endParaRPr>
              </a:p>
            </xdr:txBody>
          </xdr:sp>
        </xdr:grp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56DCD09D-9510-B0A8-080C-2685A40AD50D}"/>
              </a:ext>
            </a:extLst>
          </xdr:cNvPr>
          <xdr:cNvSpPr txBox="1"/>
        </xdr:nvSpPr>
        <xdr:spPr>
          <a:xfrm>
            <a:off x="481013" y="1828800"/>
            <a:ext cx="7316464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fr-FR" sz="1600" b="1">
                <a:solidFill>
                  <a:schemeClr val="tx1"/>
                </a:solidFill>
              </a:rPr>
              <a:t>Cab Pres &amp; SG iPhones replacement</a:t>
            </a:r>
            <a:r>
              <a:rPr lang="fr-FR" sz="1600" b="1" baseline="0">
                <a:solidFill>
                  <a:schemeClr val="tx1"/>
                </a:solidFill>
              </a:rPr>
              <a:t> plan</a:t>
            </a:r>
            <a:r>
              <a:rPr lang="fr-FR" sz="1600" b="1">
                <a:solidFill>
                  <a:schemeClr val="tx1"/>
                </a:solidFill>
              </a:rPr>
              <a:t> progress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9DBD8A-C092-4F0E-B563-6C160789DA27}" name="Dashboard" displayName="Dashboard" ref="A3:J6" totalsRowShown="0" headerRowDxfId="19" dataDxfId="18">
  <autoFilter ref="A3:J6" xr:uid="{00000000-0009-0000-0100-000004000000}"/>
  <tableColumns count="10">
    <tableColumn id="1" xr3:uid="{3F14C5BC-ADCB-47B6-8E7E-4F6A18D012C9}" name="Site"/>
    <tableColumn id="2" xr3:uid="{CAD66411-9915-41C3-81E6-264CD1E20EAA}" name="iPhones to deliver" dataDxfId="17" totalsRowDxfId="16"/>
    <tableColumn id="3" xr3:uid="{60CE8D97-AB2C-40CC-8680-5748B08C718F}" name="1st communications sent" dataDxfId="15" totalsRowDxfId="14"/>
    <tableColumn id="5" xr3:uid="{F92F2D65-E030-40C6-A5FD-34B72BBA9F9B}" name="Appointments set" dataDxfId="13" totalsRowDxfId="12"/>
    <tableColumn id="10" xr3:uid="{E240CD00-C836-4104-AE78-8D802E9515FF}" name="iPhones delivered" dataDxfId="11" totalsRowDxfId="10"/>
    <tableColumn id="11" xr3:uid="{81EDC275-9C0C-409F-A6E7-7A492EC4B712}" name="Remaining iPhone to deliver" dataDxfId="9" totalsRowDxfId="8"/>
    <tableColumn id="6" xr3:uid="{4BB08109-A2B9-4DF0-A256-E1FD81690747}" name="Tasks finished" dataDxfId="7" totalsRowDxfId="6"/>
    <tableColumn id="7" xr3:uid="{8D56E157-8650-461B-8828-A6846A836A7C}" name="Remaining tasks to do" dataDxfId="5" totalsRowDxfId="4">
      <calculatedColumnFormula>B4-G4</calculatedColumnFormula>
    </tableColumn>
    <tableColumn id="8" xr3:uid="{FC2E2922-49A2-41F8-AE8B-DA98D480B788}" name="% Tasks finished" dataDxfId="3" totalsRowDxfId="2">
      <calculatedColumnFormula>G4/B4</calculatedColumnFormula>
    </tableColumn>
    <tableColumn id="9" xr3:uid="{0A0D493F-3520-47FD-8950-CC3C9FD31093}" name="%Tasks to finish" dataDxfId="1" totalsRowDxfId="0">
      <calculatedColumnFormula>100%-Dashboard[[#This Row],[% Tasks finished]]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9A9278-3730-4973-B609-12842F197324}" name="BRU" displayName="BRU" ref="A1:I21" totalsRowShown="0">
  <autoFilter ref="A1:I21" xr:uid="{B88FF8E2-9E10-44CB-9A77-4DA4DC36F139}"/>
  <tableColumns count="9">
    <tableColumn id="3" xr3:uid="{C178B8AC-3540-430B-AFE2-F6D65F917B26}" name="Agent"/>
    <tableColumn id="1" xr3:uid="{84021FBE-D436-48FD-AB30-BC142BF95483}" name="Name"/>
    <tableColumn id="8" xr3:uid="{9FBAF676-FA27-4F83-8687-55747CF1065F}" name="PI"/>
    <tableColumn id="12" xr3:uid="{CA698EA9-8539-465B-8A8F-9D6E844423F4}" name="Ticket"/>
    <tableColumn id="16" xr3:uid="{D9E812EE-A799-4F24-839D-8FA856310440}" name="Estado de RITM"/>
    <tableColumn id="17" xr3:uid="{3F51254F-F630-45BD-880C-B38DF3840D06}" name="PDF ready"/>
    <tableColumn id="2" xr3:uid="{918E03E9-F3A1-4828-8CD3-12795128BAE4}" name="Export Status"/>
    <tableColumn id="4" xr3:uid="{DD233DD5-C832-46AA-A50C-695876A1F8D7}" name="DOCX File"/>
    <tableColumn id="5" xr3:uid="{D3AEDD5B-F262-4E68-B3EA-F7DC7F3EAD55}" name="PDF Fi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633E-746E-4C19-B155-C10E21F3A20E}">
  <dimension ref="A1:K16"/>
  <sheetViews>
    <sheetView workbookViewId="0">
      <selection activeCell="E29" sqref="E29"/>
    </sheetView>
  </sheetViews>
  <sheetFormatPr defaultRowHeight="14.5" x14ac:dyDescent="0.35"/>
  <cols>
    <col min="1" max="1" width="6.7265625" bestFit="1" customWidth="1"/>
    <col min="2" max="2" width="20" style="1" bestFit="1" customWidth="1"/>
    <col min="3" max="3" width="25.7265625" style="1" bestFit="1" customWidth="1"/>
    <col min="4" max="4" width="20.453125" style="1" bestFit="1" customWidth="1"/>
    <col min="5" max="5" width="19.81640625" bestFit="1" customWidth="1"/>
    <col min="6" max="6" width="29.453125" bestFit="1" customWidth="1"/>
    <col min="7" max="7" width="17.453125" bestFit="1" customWidth="1"/>
    <col min="8" max="8" width="23.81640625" bestFit="1" customWidth="1"/>
    <col min="9" max="9" width="23.26953125" bestFit="1" customWidth="1"/>
    <col min="10" max="10" width="18.453125" style="1" bestFit="1" customWidth="1"/>
    <col min="11" max="12" width="18.1796875" bestFit="1" customWidth="1"/>
  </cols>
  <sheetData>
    <row r="1" spans="1:11" x14ac:dyDescent="0.35">
      <c r="I1" s="1"/>
      <c r="J1"/>
    </row>
    <row r="2" spans="1:11" x14ac:dyDescent="0.35">
      <c r="I2" s="1"/>
      <c r="J2"/>
    </row>
    <row r="3" spans="1:11" x14ac:dyDescent="0.35">
      <c r="A3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1" x14ac:dyDescent="0.35">
      <c r="A4" t="s">
        <v>10</v>
      </c>
      <c r="B4" s="1">
        <f>COUNTA(#REF!)</f>
        <v>1</v>
      </c>
      <c r="C4" s="1">
        <f>COUNTA(#REF!)</f>
        <v>1</v>
      </c>
      <c r="D4" s="1">
        <f>COUNTA(#REF!)</f>
        <v>1</v>
      </c>
      <c r="E4" s="1" t="e">
        <f>COUNTIF(#REF!,"Yes")</f>
        <v>#REF!</v>
      </c>
      <c r="F4" s="1" t="e">
        <f>Dashboard[[#This Row],[iPhones to deliver]]-Dashboard[[#This Row],[iPhones delivered]]</f>
        <v>#REF!</v>
      </c>
      <c r="G4" s="1">
        <f>COUNTIF(BRU[Estado de RITM],"Yes")</f>
        <v>0</v>
      </c>
      <c r="H4" s="1">
        <f>B4-G4</f>
        <v>1</v>
      </c>
      <c r="I4" s="4">
        <f>G4/B4</f>
        <v>0</v>
      </c>
      <c r="J4" s="4">
        <f>100%-Dashboard[[#This Row],[% Tasks finished]]</f>
        <v>1</v>
      </c>
    </row>
    <row r="5" spans="1:11" x14ac:dyDescent="0.35">
      <c r="A5" t="s">
        <v>11</v>
      </c>
      <c r="B5" s="1">
        <f>COUNTA(#REF!)</f>
        <v>1</v>
      </c>
      <c r="C5" s="1">
        <f>COUNTA(#REF!)</f>
        <v>1</v>
      </c>
      <c r="D5" s="1">
        <f>COUNTA(#REF!)</f>
        <v>1</v>
      </c>
      <c r="E5" s="1" t="e">
        <f>COUNTIF(#REF!,"Yes")</f>
        <v>#REF!</v>
      </c>
      <c r="F5" s="1" t="e">
        <f>Dashboard[[#This Row],[iPhones to deliver]]-Dashboard[[#This Row],[iPhones delivered]]</f>
        <v>#REF!</v>
      </c>
      <c r="G5" s="1" t="e">
        <f>COUNTIF(#REF!,"Yes")</f>
        <v>#REF!</v>
      </c>
      <c r="H5" s="1" t="e">
        <f>B5-G5</f>
        <v>#REF!</v>
      </c>
      <c r="I5" s="4" t="e">
        <f>G5/B5</f>
        <v>#REF!</v>
      </c>
      <c r="J5" s="4" t="e">
        <f>100%-Dashboard[[#This Row],[% Tasks finished]]</f>
        <v>#REF!</v>
      </c>
    </row>
    <row r="6" spans="1:11" x14ac:dyDescent="0.35">
      <c r="A6" t="s">
        <v>12</v>
      </c>
      <c r="B6" s="1">
        <f t="shared" ref="B6:G6" si="0">SUBTOTAL(109,B4:B5)</f>
        <v>2</v>
      </c>
      <c r="C6" s="1">
        <f t="shared" si="0"/>
        <v>2</v>
      </c>
      <c r="D6" s="1">
        <f t="shared" si="0"/>
        <v>2</v>
      </c>
      <c r="E6" s="1" t="e">
        <f t="shared" si="0"/>
        <v>#REF!</v>
      </c>
      <c r="F6" s="1" t="e">
        <f t="shared" si="0"/>
        <v>#REF!</v>
      </c>
      <c r="G6" s="1" t="e">
        <f t="shared" si="0"/>
        <v>#REF!</v>
      </c>
      <c r="H6" s="1" t="e">
        <f>B6-G6</f>
        <v>#REF!</v>
      </c>
      <c r="I6" s="4" t="e">
        <f>G6/B6</f>
        <v>#REF!</v>
      </c>
      <c r="J6" s="4" t="e">
        <f>100%-Dashboard[[#This Row],[% Tasks finished]]</f>
        <v>#REF!</v>
      </c>
    </row>
    <row r="7" spans="1:11" x14ac:dyDescent="0.35">
      <c r="B7"/>
      <c r="C7"/>
    </row>
    <row r="8" spans="1:11" x14ac:dyDescent="0.35">
      <c r="B8"/>
      <c r="C8"/>
    </row>
    <row r="9" spans="1:11" x14ac:dyDescent="0.35">
      <c r="B9"/>
      <c r="C9"/>
    </row>
    <row r="10" spans="1:11" x14ac:dyDescent="0.35">
      <c r="B10"/>
      <c r="C10"/>
    </row>
    <row r="11" spans="1:11" x14ac:dyDescent="0.35">
      <c r="B11"/>
      <c r="C11"/>
    </row>
    <row r="12" spans="1:11" x14ac:dyDescent="0.35">
      <c r="B12"/>
      <c r="C12"/>
    </row>
    <row r="13" spans="1:11" x14ac:dyDescent="0.35">
      <c r="B13"/>
      <c r="C13"/>
    </row>
    <row r="14" spans="1:11" x14ac:dyDescent="0.35">
      <c r="B14"/>
      <c r="C14"/>
    </row>
    <row r="15" spans="1:11" x14ac:dyDescent="0.35">
      <c r="B15"/>
      <c r="C15"/>
    </row>
    <row r="16" spans="1:11" s="1" customFormat="1" x14ac:dyDescent="0.35">
      <c r="A16"/>
      <c r="B16"/>
      <c r="C16"/>
      <c r="E16"/>
      <c r="F16"/>
      <c r="G16"/>
      <c r="H16"/>
      <c r="I16"/>
      <c r="K16"/>
    </row>
  </sheetData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74C1-61C3-4EC9-91C0-0C7BFA0AA9FA}">
  <dimension ref="A1:I21"/>
  <sheetViews>
    <sheetView tabSelected="1" zoomScale="70" zoomScaleNormal="70" workbookViewId="0">
      <selection activeCell="D5" sqref="D5"/>
    </sheetView>
  </sheetViews>
  <sheetFormatPr defaultRowHeight="14.5" x14ac:dyDescent="0.35"/>
  <cols>
    <col min="1" max="1" width="14.26953125" bestFit="1" customWidth="1"/>
    <col min="2" max="2" width="38.453125" bestFit="1" customWidth="1"/>
    <col min="3" max="3" width="32.54296875" customWidth="1"/>
    <col min="4" max="4" width="15.453125" customWidth="1"/>
    <col min="5" max="5" width="24" customWidth="1"/>
    <col min="6" max="6" width="17.7265625" customWidth="1"/>
  </cols>
  <sheetData>
    <row r="1" spans="1:9" x14ac:dyDescent="0.35">
      <c r="A1" t="s">
        <v>13</v>
      </c>
      <c r="B1" t="s">
        <v>14</v>
      </c>
      <c r="C1" t="s">
        <v>25</v>
      </c>
      <c r="D1" t="s">
        <v>15</v>
      </c>
      <c r="E1" t="s">
        <v>19</v>
      </c>
      <c r="F1" t="s">
        <v>18</v>
      </c>
      <c r="G1" t="s">
        <v>28</v>
      </c>
      <c r="H1" t="s">
        <v>29</v>
      </c>
      <c r="I1" t="s">
        <v>30</v>
      </c>
    </row>
    <row r="2" spans="1:9" x14ac:dyDescent="0.35">
      <c r="A2" t="s">
        <v>16</v>
      </c>
      <c r="B2" t="s">
        <v>20</v>
      </c>
      <c r="C2" t="s">
        <v>21</v>
      </c>
      <c r="D2" t="s">
        <v>17</v>
      </c>
      <c r="E2" s="1" t="s">
        <v>22</v>
      </c>
      <c r="G2" t="s">
        <v>31</v>
      </c>
      <c r="H2" t="s">
        <v>33</v>
      </c>
      <c r="I2" t="s">
        <v>32</v>
      </c>
    </row>
    <row r="3" spans="1:9" x14ac:dyDescent="0.35">
      <c r="B3" t="s">
        <v>20</v>
      </c>
      <c r="C3" t="s">
        <v>21</v>
      </c>
      <c r="D3" t="s">
        <v>26</v>
      </c>
      <c r="E3" s="1" t="s">
        <v>22</v>
      </c>
      <c r="G3" t="s">
        <v>35</v>
      </c>
      <c r="H3" t="s">
        <v>34</v>
      </c>
    </row>
    <row r="4" spans="1:9" x14ac:dyDescent="0.35">
      <c r="B4" t="s">
        <v>23</v>
      </c>
      <c r="D4" t="s">
        <v>27</v>
      </c>
      <c r="E4" s="1" t="s">
        <v>24</v>
      </c>
    </row>
    <row r="5" spans="1:9" x14ac:dyDescent="0.35">
      <c r="E5" s="1"/>
    </row>
    <row r="6" spans="1:9" x14ac:dyDescent="0.35">
      <c r="E6" s="1"/>
    </row>
    <row r="7" spans="1:9" x14ac:dyDescent="0.35">
      <c r="E7" s="1"/>
    </row>
    <row r="8" spans="1:9" x14ac:dyDescent="0.35">
      <c r="E8" s="1"/>
    </row>
    <row r="9" spans="1:9" x14ac:dyDescent="0.35">
      <c r="E9" s="1"/>
    </row>
    <row r="10" spans="1:9" x14ac:dyDescent="0.35">
      <c r="E10" s="1"/>
    </row>
    <row r="11" spans="1:9" x14ac:dyDescent="0.35">
      <c r="E11" s="1"/>
    </row>
    <row r="12" spans="1:9" x14ac:dyDescent="0.35">
      <c r="E12" s="1"/>
    </row>
    <row r="13" spans="1:9" x14ac:dyDescent="0.35">
      <c r="E13" s="1"/>
    </row>
    <row r="14" spans="1:9" x14ac:dyDescent="0.35">
      <c r="E14" s="1"/>
    </row>
    <row r="15" spans="1:9" x14ac:dyDescent="0.35">
      <c r="E15" s="1"/>
    </row>
    <row r="16" spans="1:9" x14ac:dyDescent="0.35">
      <c r="E16" s="1"/>
    </row>
    <row r="17" spans="5:5" x14ac:dyDescent="0.35">
      <c r="E17" s="1"/>
    </row>
    <row r="18" spans="5:5" x14ac:dyDescent="0.35">
      <c r="E18" s="1"/>
    </row>
    <row r="19" spans="5:5" x14ac:dyDescent="0.35">
      <c r="E19" s="1"/>
    </row>
    <row r="20" spans="5:5" x14ac:dyDescent="0.35">
      <c r="E20" s="1"/>
    </row>
    <row r="21" spans="5:5" x14ac:dyDescent="0.35">
      <c r="E21" s="1"/>
    </row>
  </sheetData>
  <dataValidations count="1">
    <dataValidation type="list" allowBlank="1" showInputMessage="1" showErrorMessage="1" sqref="E2:E21" xr:uid="{769D7093-1CC6-4BA1-B316-7CD031BB7AF5}">
      <formula1>"Yes,No"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3DFC302CBA0449406AFB85C182DE4" ma:contentTypeVersion="10" ma:contentTypeDescription="Create a new document." ma:contentTypeScope="" ma:versionID="7007d3bda97433e4fe00947eab73be3e">
  <xsd:schema xmlns:xsd="http://www.w3.org/2001/XMLSchema" xmlns:xs="http://www.w3.org/2001/XMLSchema" xmlns:p="http://schemas.microsoft.com/office/2006/metadata/properties" xmlns:ns2="96209975-8a7a-41da-8328-940494a70b49" xmlns:ns3="9138261c-9a0d-474c-bc1a-0999897f62e4" targetNamespace="http://schemas.microsoft.com/office/2006/metadata/properties" ma:root="true" ma:fieldsID="f3237d4a64bd12c0c7b6380b76995417" ns2:_="" ns3:_="">
    <xsd:import namespace="96209975-8a7a-41da-8328-940494a70b49"/>
    <xsd:import namespace="9138261c-9a0d-474c-bc1a-0999897f62e4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Document_x0020_Type" minOccurs="0"/>
                <xsd:element ref="ns2:Status" minOccurs="0"/>
                <xsd:element ref="ns2:WIKI_x0020_Location" minOccurs="0"/>
                <xsd:element ref="ns2:Document_x0020_Type_x0020_Dynamic" minOccurs="0"/>
                <xsd:element ref="ns2:Intranet_x0020_Location" minOccurs="0"/>
                <xsd:element ref="ns3:Sermaq_x0020_Document_x0020_Type" minOccurs="0"/>
                <xsd:element ref="ns3:DocCategory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09975-8a7a-41da-8328-940494a70b49" elementFormDefault="qualified">
    <xsd:import namespace="http://schemas.microsoft.com/office/2006/documentManagement/types"/>
    <xsd:import namespace="http://schemas.microsoft.com/office/infopath/2007/PartnerControls"/>
    <xsd:element name="Category" ma:index="8" nillable="true" ma:displayName="Category" ma:format="Dropdown" ma:internalName="Category">
      <xsd:simpleType>
        <xsd:restriction base="dms:Choice">
          <xsd:enumeration value="Computer Rooms"/>
          <xsd:enumeration value="Documentation"/>
          <xsd:enumeration value="E-mail Management"/>
          <xsd:enumeration value="EPSD"/>
          <xsd:enumeration value="File Management"/>
          <xsd:enumeration value="Interactive Information Points"/>
          <xsd:enumeration value="Inventory Management"/>
          <xsd:enumeration value="Knowledge Management"/>
          <xsd:enumeration value="Loan Management"/>
          <xsd:enumeration value="Logistics Management"/>
          <xsd:enumeration value="Mobile Devices"/>
          <xsd:enumeration value="Mobile Device Management"/>
          <xsd:enumeration value="Printing and Scanning"/>
          <xsd:enumeration value="Quality Management"/>
          <xsd:enumeration value="Remote working Support"/>
          <xsd:enumeration value="Server desk announcements"/>
          <xsd:enumeration value="Server management Support"/>
          <xsd:enumeration value="Switchboard"/>
          <xsd:enumeration value="Tele-Distribution Support"/>
          <xsd:enumeration value="Token"/>
          <xsd:enumeration value="User Management"/>
          <xsd:enumeration value="Video Conferencing Support"/>
          <xsd:enumeration value="Wi-Fi Access Management"/>
        </xsd:restriction>
      </xsd:simpleType>
    </xsd:element>
    <xsd:element name="Document_x0020_Type" ma:index="9" nillable="true" ma:displayName="Document Type" ma:format="Dropdown" ma:internalName="Document_x0020_Type">
      <xsd:simpleType>
        <xsd:restriction base="dms:Choice">
          <xsd:enumeration value="Administrator's Guide"/>
          <xsd:enumeration value="Communication"/>
          <xsd:enumeration value="Forms"/>
          <xsd:enumeration value="Policy"/>
          <xsd:enumeration value="Presentation"/>
          <xsd:enumeration value="Procedure - support (SOP)"/>
          <xsd:enumeration value="Procedure - end user"/>
          <xsd:enumeration value="Process Description"/>
          <xsd:enumeration value="Process Flow"/>
          <xsd:enumeration value="Proposal"/>
          <xsd:enumeration value="Reports"/>
          <xsd:enumeration value="Service Description"/>
          <xsd:enumeration value="Template"/>
          <xsd:enumeration value="Terms &amp; Conditions"/>
          <xsd:enumeration value="User Guide"/>
          <xsd:enumeration value="Web page"/>
        </xsd:restriction>
      </xsd:simpleType>
    </xsd:element>
    <xsd:element name="Status" ma:index="10" nillable="true" ma:displayName="Status" ma:format="Dropdown" ma:internalName="Status">
      <xsd:simpleType>
        <xsd:restriction base="dms:Choice">
          <xsd:enumeration value="WIP"/>
          <xsd:enumeration value="draft"/>
          <xsd:enumeration value="sent for review"/>
          <xsd:enumeration value="under review"/>
          <xsd:enumeration value="approved with comments"/>
          <xsd:enumeration value="approval requested"/>
          <xsd:enumeration value="approved"/>
          <xsd:enumeration value="published"/>
          <xsd:enumeration value="tested"/>
        </xsd:restriction>
      </xsd:simpleType>
    </xsd:element>
    <xsd:element name="WIKI_x0020_Location" ma:index="11" nillable="true" ma:displayName="WIKI Location" ma:internalName="WIKI_x0020_Location">
      <xsd:simpleType>
        <xsd:restriction base="dms:Text">
          <xsd:maxLength value="255"/>
        </xsd:restriction>
      </xsd:simpleType>
    </xsd:element>
    <xsd:element name="Document_x0020_Type_x0020_Dynamic" ma:index="12" nillable="true" ma:displayName="Document Type Dynamic" ma:list="{96209975-8a7a-41da-8328-940494a70b49}" ma:internalName="Document_x0020_Type_x0020_Dynamic" ma:readOnly="false" ma:showField="Title">
      <xsd:simpleType>
        <xsd:restriction base="dms:Lookup"/>
      </xsd:simpleType>
    </xsd:element>
    <xsd:element name="Intranet_x0020_Location" ma:index="13" nillable="true" ma:displayName="Intranet Location" ma:internalName="Intranet_x0020_Loca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8261c-9a0d-474c-bc1a-0999897f62e4" elementFormDefault="qualified">
    <xsd:import namespace="http://schemas.microsoft.com/office/2006/documentManagement/types"/>
    <xsd:import namespace="http://schemas.microsoft.com/office/infopath/2007/PartnerControls"/>
    <xsd:element name="Sermaq_x0020_Document_x0020_Type" ma:index="14" nillable="true" ma:displayName=".Document Type" ma:default="(Please Select)" ma:format="Dropdown" ma:internalName="Sermaq_x0020_Document_x0020_Type">
      <xsd:simpleType>
        <xsd:restriction base="dms:Choice">
          <xsd:enumeration value="(Please Select)"/>
          <xsd:enumeration value="Administrator's Guide"/>
          <xsd:enumeration value="Communication"/>
          <xsd:enumeration value="EFRM (E-Form)"/>
          <xsd:enumeration value="FAQ"/>
          <xsd:enumeration value="Form"/>
          <xsd:enumeration value="Picture"/>
          <xsd:enumeration value="POL (Policy)"/>
          <xsd:enumeration value="Presentation"/>
          <xsd:enumeration value="Project - Charter"/>
          <xsd:enumeration value="Project - Plan"/>
          <xsd:enumeration value="SOP (Support Procedure)"/>
          <xsd:enumeration value="Procedure for End Users"/>
          <xsd:enumeration value="PRO (Process Description)"/>
          <xsd:enumeration value="Process Flow for PRO"/>
          <xsd:enumeration value="Proposal"/>
          <xsd:enumeration value="Report"/>
          <xsd:enumeration value="Request fulfilment"/>
          <xsd:enumeration value="Role Definition"/>
          <xsd:enumeration value="SD (Service Description)"/>
          <xsd:enumeration value="Service Catalogue"/>
          <xsd:enumeration value="Template"/>
          <xsd:enumeration value="T&amp;C (Terms and Conditions)"/>
          <xsd:enumeration value="Open Menu"/>
          <xsd:enumeration value="Other"/>
          <xsd:enumeration value="User Guide"/>
          <xsd:enumeration value="Webpage"/>
        </xsd:restriction>
      </xsd:simpleType>
    </xsd:element>
    <xsd:element name="DocCategory" ma:index="15" nillable="true" ma:displayName="DocCategory" ma:internalName="DocCategory">
      <xsd:simpleType>
        <xsd:restriction base="dms:Text">
          <xsd:maxLength value="255"/>
        </xsd:restriction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96209975-8a7a-41da-8328-940494a70b49" xsi:nil="true"/>
    <Intranet_x0020_Location xmlns="96209975-8a7a-41da-8328-940494a70b49" xsi:nil="true"/>
    <DocCategory xmlns="9138261c-9a0d-474c-bc1a-0999897f62e4" xsi:nil="true"/>
    <Sermaq_x0020_Document_x0020_Type xmlns="9138261c-9a0d-474c-bc1a-0999897f62e4">(Please Select)</Sermaq_x0020_Document_x0020_Type>
    <Document_x0020_Type xmlns="96209975-8a7a-41da-8328-940494a70b49" xsi:nil="true"/>
    <Document_x0020_Type_x0020_Dynamic xmlns="96209975-8a7a-41da-8328-940494a70b49" xsi:nil="true"/>
    <WIKI_x0020_Location xmlns="96209975-8a7a-41da-8328-940494a70b49" xsi:nil="true"/>
    <Category xmlns="96209975-8a7a-41da-8328-940494a70b49" xsi:nil="true"/>
  </documentManagement>
</p:properties>
</file>

<file path=customXml/itemProps1.xml><?xml version="1.0" encoding="utf-8"?>
<ds:datastoreItem xmlns:ds="http://schemas.openxmlformats.org/officeDocument/2006/customXml" ds:itemID="{5E3A7F09-46E5-4AA4-B8F8-12315DFC0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209975-8a7a-41da-8328-940494a70b49"/>
    <ds:schemaRef ds:uri="9138261c-9a0d-474c-bc1a-0999897f6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71ED25-EF42-415D-BACA-E035C79D43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75BF06-D596-4D5F-8037-CA6A47259101}">
  <ds:schemaRefs>
    <ds:schemaRef ds:uri="http://schemas.microsoft.com/office/2006/metadata/properties"/>
    <ds:schemaRef ds:uri="http://schemas.microsoft.com/office/infopath/2007/PartnerControls"/>
    <ds:schemaRef ds:uri="96209975-8a7a-41da-8328-940494a70b49"/>
    <ds:schemaRef ds:uri="9138261c-9a0d-474c-bc1a-0999897f62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BRU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VILLENA Thomas</dc:creator>
  <cp:keywords/>
  <dc:description/>
  <cp:lastModifiedBy>Espinoza Dioses Dayanna</cp:lastModifiedBy>
  <cp:revision/>
  <dcterms:created xsi:type="dcterms:W3CDTF">2025-12-04T14:05:26Z</dcterms:created>
  <dcterms:modified xsi:type="dcterms:W3CDTF">2026-02-16T16:03:08Z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0x010100FC33DFC302CBA0449406AFB85C182DE4</vt:lpwstr>
  </property>
</Properties>
</file>